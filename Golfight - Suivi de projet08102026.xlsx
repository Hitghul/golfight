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d.docs.live.net/ec4a9e7aa68a3f21/Golfight/"/>
    </mc:Choice>
  </mc:AlternateContent>
  <xr:revisionPtr revIDLastSave="0" documentId="11_94CA196650A40CDE71C491D7C78F02A655309369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Suivi" sheetId="1" r:id="rId1"/>
    <sheet name="Listes" sheetId="2" r:id="rId2"/>
  </sheets>
  <definedNames>
    <definedName name="_xlnm._FilterDatabase" localSheetId="0" hidden="1">Suivi!$A$4:$I$64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1" l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G5" i="1"/>
  <c r="A5" i="1"/>
  <c r="T4" i="1"/>
  <c r="U4" i="1" s="1"/>
  <c r="N4" i="1"/>
  <c r="O4" i="1" s="1"/>
  <c r="K4" i="1"/>
  <c r="X3" i="1"/>
  <c r="W3" i="1"/>
  <c r="T3" i="1"/>
  <c r="S3" i="1"/>
  <c r="R3" i="1"/>
  <c r="Q3" i="1"/>
  <c r="N3" i="1"/>
  <c r="M3" i="1"/>
  <c r="L3" i="1"/>
  <c r="K3" i="1"/>
  <c r="J3" i="1"/>
  <c r="D2" i="1"/>
  <c r="B2" i="1"/>
  <c r="V4" i="1" l="1"/>
  <c r="V3" i="1" s="1"/>
  <c r="U3" i="1"/>
  <c r="P4" i="1"/>
  <c r="P3" i="1" s="1"/>
  <c r="O3" i="1"/>
</calcChain>
</file>

<file path=xl/sharedStrings.xml><?xml version="1.0" encoding="utf-8"?>
<sst xmlns="http://schemas.openxmlformats.org/spreadsheetml/2006/main" count="191" uniqueCount="96">
  <si>
    <t>Golfight - Suivi de projet</t>
  </si>
  <si>
    <t>Terminées :</t>
  </si>
  <si>
    <t>En retard :</t>
  </si>
  <si>
    <t>Légende du Gantt :</t>
  </si>
  <si>
    <t>Terminé</t>
  </si>
  <si>
    <t>En cours</t>
  </si>
  <si>
    <t>À faire</t>
  </si>
  <si>
    <t>En retard</t>
  </si>
  <si>
    <t>Cette semaine</t>
  </si>
  <si>
    <t>S = séance cette semaine</t>
  </si>
  <si>
    <t>N°</t>
  </si>
  <si>
    <t>Tâche</t>
  </si>
  <si>
    <t>Qui</t>
  </si>
  <si>
    <t>Sprint</t>
  </si>
  <si>
    <t>Début</t>
  </si>
  <si>
    <t>Fin</t>
  </si>
  <si>
    <t>Jours</t>
  </si>
  <si>
    <t>Statut</t>
  </si>
  <si>
    <t>Commentaire</t>
  </si>
  <si>
    <t>Cahier des charges</t>
  </si>
  <si>
    <t>Tous</t>
  </si>
  <si>
    <t>Cadrage</t>
  </si>
  <si>
    <t>Architecture et répartition des tâches</t>
  </si>
  <si>
    <t>Test client / serveur avec socket</t>
  </si>
  <si>
    <t>Seth</t>
  </si>
  <si>
    <t>Sprint 1</t>
  </si>
  <si>
    <t>Menu des réglages, résolution</t>
  </si>
  <si>
    <t>Sofiane</t>
  </si>
  <si>
    <t>Physique : décélération et arrêt net</t>
  </si>
  <si>
    <t>Baptiste</t>
  </si>
  <si>
    <t>Indicateur de vitesse et seuil de tir</t>
  </si>
  <si>
    <t>Communication TCP plusieurs clients</t>
  </si>
  <si>
    <t>Déploiement sur Render</t>
  </si>
  <si>
    <t>Spécification (spec.md)</t>
  </si>
  <si>
    <t>Sprint 2</t>
  </si>
  <si>
    <t>À relire par l'équipe</t>
  </si>
  <si>
    <t>Pseudo et liste des joueurs connectés</t>
  </si>
  <si>
    <t>Invitations (accepter / refuser)</t>
  </si>
  <si>
    <t>Partie à 2 joueurs synchronisée</t>
  </si>
  <si>
    <t>Tir simultané avec seuil de vitesse</t>
  </si>
  <si>
    <t>Mode solo dans le navigateur</t>
  </si>
  <si>
    <t>Menu principal et écrans web (Django)</t>
  </si>
  <si>
    <t>Lobby : choix de la carte, bouton Prêt</t>
  </si>
  <si>
    <t>Sprint 3</t>
  </si>
  <si>
    <t>Placement inversé (balle et trou)</t>
  </si>
  <si>
    <t>Vérification des placements (serveur)</t>
  </si>
  <si>
    <t>Collision entre les deux balles</t>
  </si>
  <si>
    <t>Fin de manche, rejouer / quitter, score</t>
  </si>
  <si>
    <t>Cartes avec obstacles</t>
  </si>
  <si>
    <t>Affichage en jeu et textures</t>
  </si>
  <si>
    <t>Déconnexions</t>
  </si>
  <si>
    <t>Finition</t>
  </si>
  <si>
    <t>Bonus : éditeur de cartes, particules, transitions</t>
  </si>
  <si>
    <t>Si on a le temps</t>
  </si>
  <si>
    <t>Tests et correction des bugs</t>
  </si>
  <si>
    <t>Tests</t>
  </si>
  <si>
    <t>Préparer la présentation</t>
  </si>
  <si>
    <t>Présentation</t>
  </si>
  <si>
    <t>Cahier des charges, méthode agile ✅</t>
  </si>
  <si>
    <t>Architecture globale</t>
  </si>
  <si>
    <t>Répartition des tâches en 3 sprints ✅</t>
  </si>
  <si>
    <t>16/09</t>
  </si>
  <si>
    <t>Sprint 1.1</t>
  </si>
  <si>
    <t>Physique de base, menus, premier test socket ✅</t>
  </si>
  <si>
    <t>24/09</t>
  </si>
  <si>
    <t>Sprint 1.2</t>
  </si>
  <si>
    <t>Amélioration de la physique, indicateur de vitesse ✅</t>
  </si>
  <si>
    <t>Revue Sprint 1 / planification Sprint 2</t>
  </si>
  <si>
    <t>Décision : serveur qui fait autorité ; déploiement sur Render ✅</t>
  </si>
  <si>
    <t>Spécification ; pseudo et liste des joueurs ; invitations ; synchronisation à 2 joueurs ; tir simultané avec seuil ; mode solo web</t>
  </si>
  <si>
    <t>15/10</t>
  </si>
  <si>
    <t>Revue Sprint 2 / planification Sprint 3</t>
  </si>
  <si>
    <t>Démo d'une partie 1v1 simple entre 2 machines</t>
  </si>
  <si>
    <t>Placement inversé ; collision entre les balles ; fin de manche et vote ; cartes avec obstacles ; textures</t>
  </si>
  <si>
    <t>Finition du produit</t>
  </si>
  <si>
    <t>Interface en jeu, déconnexions, bonus (éditeur de cartes, particules, transitions)</t>
  </si>
  <si>
    <t>25/11</t>
  </si>
  <si>
    <t>Tests et corrections</t>
  </si>
  <si>
    <t>Campagne de tests du §11, tests avec des joueurs extérieurs</t>
  </si>
  <si>
    <t>27/11</t>
  </si>
  <si>
    <t>Correction des derniers bugs, version finale en ligne</t>
  </si>
  <si>
    <t>-</t>
  </si>
  <si>
    <t>Envoie des livrables</t>
  </si>
  <si>
    <t>Slide, Readme, git</t>
  </si>
  <si>
    <t>Présentation finale</t>
  </si>
  <si>
    <t>Démo en direct sur golfight.onrender.com</t>
  </si>
  <si>
    <t>Membre</t>
  </si>
  <si>
    <t>Séance</t>
  </si>
  <si>
    <t>Date</t>
  </si>
  <si>
    <t>Objectif</t>
  </si>
  <si>
    <t>Cadrage, cahier des charges</t>
  </si>
  <si>
    <t>Architecture, répartition des tâches</t>
  </si>
  <si>
    <t>Bloqué</t>
  </si>
  <si>
    <t>Revue Sprint 1</t>
  </si>
  <si>
    <t>Revue Sprint 2</t>
  </si>
  <si>
    <t>Vous pouvez ajouter des valeurs sous chaque liste (jusqu'à la ligne 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</si>
</sst>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"/>
    <numFmt numFmtId="165" formatCode="dd/mm/yy"/>
    <numFmt numFmtId="166" formatCode="mm/dd"/>
  </numFmts>
  <fonts count="18" x14ac:knownFonts="1">
    <font>
      <sz val="11"/>
      <color theme="1"/>
      <name val="Calibri"/>
      <scheme val="minor"/>
    </font>
    <font>
      <b/>
      <sz val="16"/>
      <color rgb="FF305496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FFFFFF"/>
      <name val="Arial"/>
      <family val="2"/>
    </font>
    <font>
      <sz val="11"/>
      <name val="Calibri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b/>
      <sz val="8"/>
      <color rgb="FF305496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sz val="10"/>
      <color rgb="FF808080"/>
      <name val="Arial"/>
      <family val="2"/>
    </font>
    <font>
      <sz val="10"/>
      <color rgb="FF000000"/>
      <name val="Arial"/>
      <family val="2"/>
    </font>
    <font>
      <sz val="11"/>
      <color rgb="FF080808"/>
      <name val="Helvetica"/>
      <family val="2"/>
    </font>
    <font>
      <b/>
      <sz val="11"/>
      <color rgb="FF080808"/>
      <name val="Helvetica"/>
      <family val="2"/>
    </font>
    <font>
      <b/>
      <sz val="11"/>
      <color rgb="FFFFFFFF"/>
      <name val="Arial"/>
      <family val="2"/>
    </font>
    <font>
      <i/>
      <sz val="9"/>
      <color rgb="FF80808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BFBFBF"/>
        <bgColor rgb="FFBFBFBF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1155CC"/>
        <bgColor rgb="FF1155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9EAEE"/>
      </left>
      <right style="thin">
        <color rgb="FFE9EAEE"/>
      </right>
      <top style="thin">
        <color rgb="FF000000"/>
      </top>
      <bottom style="thin">
        <color rgb="FFE9EAEE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6" fillId="6" borderId="3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9" fillId="7" borderId="4" xfId="0" applyFont="1" applyFill="1" applyBorder="1" applyAlignment="1">
      <alignment horizontal="center" vertical="center"/>
    </xf>
    <xf numFmtId="164" fontId="10" fillId="7" borderId="4" xfId="0" applyNumberFormat="1" applyFont="1" applyFill="1" applyBorder="1" applyAlignment="1">
      <alignment horizontal="center" vertical="center" textRotation="90"/>
    </xf>
    <xf numFmtId="164" fontId="11" fillId="7" borderId="4" xfId="0" applyNumberFormat="1" applyFont="1" applyFill="1" applyBorder="1" applyAlignment="1">
      <alignment horizontal="center" vertical="center" textRotation="90"/>
    </xf>
    <xf numFmtId="164" fontId="10" fillId="8" borderId="4" xfId="0" applyNumberFormat="1" applyFont="1" applyFill="1" applyBorder="1" applyAlignment="1">
      <alignment horizontal="center" vertical="center" textRotation="90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3" fillId="8" borderId="4" xfId="0" applyFont="1" applyFill="1" applyBorder="1" applyAlignment="1">
      <alignment horizontal="center" vertical="center"/>
    </xf>
    <xf numFmtId="0" fontId="14" fillId="0" borderId="5" xfId="0" applyFont="1" applyBorder="1"/>
    <xf numFmtId="166" fontId="14" fillId="0" borderId="5" xfId="0" applyNumberFormat="1" applyFont="1" applyBorder="1"/>
    <xf numFmtId="0" fontId="15" fillId="0" borderId="5" xfId="0" applyFont="1" applyBorder="1"/>
    <xf numFmtId="0" fontId="16" fillId="7" borderId="3" xfId="0" applyFont="1" applyFill="1" applyBorder="1"/>
    <xf numFmtId="14" fontId="3" fillId="0" borderId="0" xfId="0" applyNumberFormat="1" applyFont="1"/>
    <xf numFmtId="0" fontId="17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4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10">
    <dxf>
      <fill>
        <patternFill patternType="solid">
          <fgColor rgb="FFFFF2CC"/>
          <bgColor rgb="FFFFF2CC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4472C4"/>
          <bgColor rgb="FF4472C4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C6EFCE"/>
          <bgColor rgb="FFC6EFCE"/>
        </patternFill>
      </fill>
    </dxf>
    <dxf>
      <font>
        <b/>
        <color rgb="FFC0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5496"/>
  </sheetPr>
  <dimension ref="A1:X1000"/>
  <sheetViews>
    <sheetView showGridLine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R27" sqref="R27"/>
    </sheetView>
  </sheetViews>
  <sheetFormatPr baseColWidth="10" defaultColWidth="14.5" defaultRowHeight="15" customHeight="1" x14ac:dyDescent="0.2"/>
  <cols>
    <col min="1" max="1" width="5" customWidth="1"/>
    <col min="2" max="2" width="42" customWidth="1"/>
    <col min="3" max="4" width="10" customWidth="1"/>
    <col min="5" max="6" width="11" customWidth="1"/>
    <col min="7" max="7" width="6" customWidth="1"/>
    <col min="8" max="8" width="10" customWidth="1"/>
    <col min="9" max="9" width="28" customWidth="1"/>
    <col min="10" max="24" width="5.5" customWidth="1"/>
    <col min="25" max="25" width="8.83203125" customWidth="1"/>
  </cols>
  <sheetData>
    <row r="1" spans="1:24" ht="20" x14ac:dyDescent="0.2">
      <c r="A1" s="1" t="s">
        <v>0</v>
      </c>
    </row>
    <row r="2" spans="1:24" x14ac:dyDescent="0.2">
      <c r="A2" s="2" t="s">
        <v>1</v>
      </c>
      <c r="B2" s="3" t="str">
        <f>COUNTIF(H5:H64,"Terminé")&amp;" / "&amp;COUNTA(B5:B64)&amp;"  ("&amp;TEXT(IFERROR(COUNTIF(H5:H64,"Terminé")/COUNTA(B5:B64),0),"0%")&amp;")"</f>
        <v>8 / 26  (31%)</v>
      </c>
      <c r="C2" s="2" t="s">
        <v>2</v>
      </c>
      <c r="D2" s="4">
        <f ca="1">COUNTIFS(F5:F64,"&lt;"&amp;TODAY(),H5:H64,"&lt;&gt;Terminé",B5:B64,"&lt;&gt;")</f>
        <v>0</v>
      </c>
      <c r="I2" s="5" t="s">
        <v>3</v>
      </c>
      <c r="J2" s="25" t="s">
        <v>4</v>
      </c>
      <c r="K2" s="26"/>
      <c r="L2" s="27" t="s">
        <v>5</v>
      </c>
      <c r="M2" s="26"/>
      <c r="N2" s="28" t="s">
        <v>6</v>
      </c>
      <c r="O2" s="26"/>
      <c r="P2" s="29" t="s">
        <v>7</v>
      </c>
      <c r="Q2" s="26"/>
      <c r="R2" s="6" t="s">
        <v>8</v>
      </c>
    </row>
    <row r="3" spans="1:24" x14ac:dyDescent="0.2">
      <c r="I3" s="7" t="s">
        <v>9</v>
      </c>
      <c r="J3" s="8" t="str">
        <f>IF(COUNTIFS(Listes!$F$2:$F$20,"&gt;="&amp;J4,Listes!$F$2:$F$20,"&lt;"&amp;J4+7)&gt;0,"S","")</f>
        <v>S</v>
      </c>
      <c r="K3" s="8" t="str">
        <f>IF(COUNTIFS(Listes!$F$2:$F$20,"&gt;="&amp;K4,Listes!$F$2:$F$20,"&lt;"&amp;K4+7)&gt;0,"S","")</f>
        <v>S</v>
      </c>
      <c r="L3" s="8" t="str">
        <f>IF(COUNTIFS(Listes!$F$2:$F$20,"&gt;="&amp;L4,Listes!$F$2:$F$20,"&lt;"&amp;L4+7)&gt;0,"S","")</f>
        <v>S</v>
      </c>
      <c r="M3" s="8" t="str">
        <f>IF(COUNTIFS(Listes!$F$2:$F$20,"&gt;="&amp;M4,Listes!$F$2:$F$20,"&lt;"&amp;M4+7)&gt;0,"S","")</f>
        <v>S</v>
      </c>
      <c r="N3" s="8" t="str">
        <f>IF(COUNTIFS(Listes!$F$2:$F$20,"&gt;="&amp;N4,Listes!$F$2:$F$20,"&lt;"&amp;N4+7)&gt;0,"S","")</f>
        <v>S</v>
      </c>
      <c r="O3" s="8" t="str">
        <f>IF(COUNTIFS(Listes!$F$2:$F$20,"&gt;="&amp;O4,Listes!$F$2:$F$20,"&lt;"&amp;O4+7)&gt;0,"S","")</f>
        <v>S</v>
      </c>
      <c r="P3" s="8" t="str">
        <f>IF(COUNTIFS(Listes!$F$2:$F$20,"&gt;="&amp;P4,Listes!$F$2:$F$20,"&lt;"&amp;P4+7)&gt;0,"S","")</f>
        <v>S</v>
      </c>
      <c r="Q3" s="8" t="str">
        <f>IF(COUNTIFS(Listes!$F$2:$F$20,"&gt;="&amp;Q4,Listes!$F$2:$F$20,"&lt;"&amp;Q4+7)&gt;0,"S","")</f>
        <v>S</v>
      </c>
      <c r="R3" s="8" t="str">
        <f>IF(COUNTIFS(Listes!$F$2:$F$20,"&gt;="&amp;R4,Listes!$F$2:$F$20,"&lt;"&amp;R4+7)&gt;0,"S","")</f>
        <v>S</v>
      </c>
      <c r="S3" s="8" t="str">
        <f>IF(COUNTIFS(Listes!$F$2:$F$20,"&gt;="&amp;S4,Listes!$F$2:$F$20,"&lt;"&amp;S4+7)&gt;0,"S","")</f>
        <v>S</v>
      </c>
      <c r="T3" s="8" t="str">
        <f>IF(COUNTIFS(Listes!$F$2:$F$20,"&gt;="&amp;T4,Listes!$F$2:$F$20,"&lt;"&amp;T4+7)&gt;0,"S","")</f>
        <v>S</v>
      </c>
      <c r="U3" s="8" t="str">
        <f>IF(COUNTIFS(Listes!$F$2:$F$20,"&gt;="&amp;U4,Listes!$F$2:$F$20,"&lt;"&amp;U4+7)&gt;0,"S","")</f>
        <v>S</v>
      </c>
      <c r="V3" s="8" t="str">
        <f>IF(COUNTIFS(Listes!$F$2:$F$20,"&gt;="&amp;V4,Listes!$F$2:$F$20,"&lt;"&amp;V4+7)&gt;0,"S","")</f>
        <v>S</v>
      </c>
      <c r="W3" s="8" t="str">
        <f>IF(COUNTIFS(Listes!$F$2:$F$20,"&gt;="&amp;W4,Listes!$F$2:$F$20,"&lt;"&amp;W4+7)&gt;0,"S","")</f>
        <v/>
      </c>
      <c r="X3" s="8" t="str">
        <f>IF(COUNTIFS(Listes!$F$2:$F$20,"&gt;="&amp;X4,Listes!$F$2:$F$20,"&lt;"&amp;X4+7)&gt;0,"S","")</f>
        <v/>
      </c>
    </row>
    <row r="4" spans="1:24" ht="39.75" customHeight="1" x14ac:dyDescent="0.2">
      <c r="A4" s="9" t="s">
        <v>10</v>
      </c>
      <c r="B4" s="9" t="s">
        <v>11</v>
      </c>
      <c r="C4" s="9" t="s">
        <v>12</v>
      </c>
      <c r="D4" s="9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I4" s="9" t="s">
        <v>18</v>
      </c>
      <c r="J4" s="10">
        <v>46268</v>
      </c>
      <c r="K4" s="10">
        <f>J4+8</f>
        <v>46276</v>
      </c>
      <c r="L4" s="11">
        <v>46281</v>
      </c>
      <c r="M4" s="11">
        <v>46289</v>
      </c>
      <c r="N4" s="10">
        <f t="shared" ref="N4:P4" si="0">M4+7</f>
        <v>46296</v>
      </c>
      <c r="O4" s="10">
        <f t="shared" si="0"/>
        <v>46303</v>
      </c>
      <c r="P4" s="10">
        <f t="shared" si="0"/>
        <v>46310</v>
      </c>
      <c r="Q4" s="11">
        <v>46330</v>
      </c>
      <c r="R4" s="11">
        <v>46331</v>
      </c>
      <c r="S4" s="11">
        <v>46351</v>
      </c>
      <c r="T4" s="10">
        <f>S4+2</f>
        <v>46353</v>
      </c>
      <c r="U4" s="10">
        <f>T4+11</f>
        <v>46364</v>
      </c>
      <c r="V4" s="10">
        <f>U4+1</f>
        <v>46365</v>
      </c>
      <c r="W4" s="12"/>
      <c r="X4" s="10"/>
    </row>
    <row r="5" spans="1:24" x14ac:dyDescent="0.2">
      <c r="A5" s="13">
        <f t="shared" ref="A5:A64" si="1">IF(B5="","",ROW()-4)</f>
        <v>1</v>
      </c>
      <c r="B5" s="14" t="s">
        <v>19</v>
      </c>
      <c r="C5" s="15" t="s">
        <v>20</v>
      </c>
      <c r="D5" s="15" t="s">
        <v>21</v>
      </c>
      <c r="E5" s="16">
        <v>46268</v>
      </c>
      <c r="F5" s="16">
        <v>46275</v>
      </c>
      <c r="G5" s="13">
        <f t="shared" ref="G5:G64" si="2">IF(OR(E5="",F5=""),"",F5-E5+1)</f>
        <v>8</v>
      </c>
      <c r="H5" s="15" t="s">
        <v>4</v>
      </c>
      <c r="I5" s="17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8"/>
      <c r="X5" s="15"/>
    </row>
    <row r="6" spans="1:24" x14ac:dyDescent="0.2">
      <c r="A6" s="13">
        <f t="shared" si="1"/>
        <v>2</v>
      </c>
      <c r="B6" s="14" t="s">
        <v>22</v>
      </c>
      <c r="C6" s="15" t="s">
        <v>20</v>
      </c>
      <c r="D6" s="15" t="s">
        <v>21</v>
      </c>
      <c r="E6" s="16">
        <v>46276</v>
      </c>
      <c r="F6" s="16">
        <v>46280</v>
      </c>
      <c r="G6" s="13">
        <f t="shared" si="2"/>
        <v>5</v>
      </c>
      <c r="H6" s="15" t="s">
        <v>4</v>
      </c>
      <c r="I6" s="17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8"/>
      <c r="X6" s="15"/>
    </row>
    <row r="7" spans="1:24" x14ac:dyDescent="0.2">
      <c r="A7" s="13">
        <f t="shared" si="1"/>
        <v>3</v>
      </c>
      <c r="B7" s="14" t="s">
        <v>23</v>
      </c>
      <c r="C7" s="15" t="s">
        <v>24</v>
      </c>
      <c r="D7" s="15" t="s">
        <v>25</v>
      </c>
      <c r="E7" s="16">
        <v>46281</v>
      </c>
      <c r="F7" s="16">
        <v>46288</v>
      </c>
      <c r="G7" s="13">
        <f t="shared" si="2"/>
        <v>8</v>
      </c>
      <c r="H7" s="15" t="s">
        <v>4</v>
      </c>
      <c r="I7" s="17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8"/>
      <c r="X7" s="15"/>
    </row>
    <row r="8" spans="1:24" x14ac:dyDescent="0.2">
      <c r="A8" s="13">
        <f t="shared" si="1"/>
        <v>4</v>
      </c>
      <c r="B8" s="14" t="s">
        <v>26</v>
      </c>
      <c r="C8" s="15" t="s">
        <v>27</v>
      </c>
      <c r="D8" s="15" t="s">
        <v>25</v>
      </c>
      <c r="E8" s="16">
        <v>46281</v>
      </c>
      <c r="F8" s="16">
        <v>46288</v>
      </c>
      <c r="G8" s="13">
        <f t="shared" si="2"/>
        <v>8</v>
      </c>
      <c r="H8" s="15" t="s">
        <v>4</v>
      </c>
      <c r="I8" s="17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8"/>
      <c r="X8" s="15"/>
    </row>
    <row r="9" spans="1:24" x14ac:dyDescent="0.2">
      <c r="A9" s="13">
        <f t="shared" si="1"/>
        <v>5</v>
      </c>
      <c r="B9" s="14" t="s">
        <v>28</v>
      </c>
      <c r="C9" s="15" t="s">
        <v>29</v>
      </c>
      <c r="D9" s="15" t="s">
        <v>25</v>
      </c>
      <c r="E9" s="16">
        <v>46281</v>
      </c>
      <c r="F9" s="16">
        <v>46288</v>
      </c>
      <c r="G9" s="13">
        <f t="shared" si="2"/>
        <v>8</v>
      </c>
      <c r="H9" s="15" t="s">
        <v>4</v>
      </c>
      <c r="I9" s="17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8"/>
      <c r="X9" s="15"/>
    </row>
    <row r="10" spans="1:24" x14ac:dyDescent="0.2">
      <c r="A10" s="13">
        <f t="shared" si="1"/>
        <v>6</v>
      </c>
      <c r="B10" s="14" t="s">
        <v>30</v>
      </c>
      <c r="C10" s="15" t="s">
        <v>29</v>
      </c>
      <c r="D10" s="15" t="s">
        <v>25</v>
      </c>
      <c r="E10" s="16">
        <v>46289</v>
      </c>
      <c r="F10" s="16">
        <v>46295</v>
      </c>
      <c r="G10" s="13">
        <f t="shared" si="2"/>
        <v>7</v>
      </c>
      <c r="H10" s="15" t="s">
        <v>4</v>
      </c>
      <c r="I10" s="17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8"/>
      <c r="X10" s="15"/>
    </row>
    <row r="11" spans="1:24" x14ac:dyDescent="0.2">
      <c r="A11" s="13">
        <f t="shared" si="1"/>
        <v>7</v>
      </c>
      <c r="B11" s="14" t="s">
        <v>31</v>
      </c>
      <c r="C11" s="15" t="s">
        <v>24</v>
      </c>
      <c r="D11" s="15" t="s">
        <v>25</v>
      </c>
      <c r="E11" s="16">
        <v>46289</v>
      </c>
      <c r="F11" s="16">
        <v>46296</v>
      </c>
      <c r="G11" s="13">
        <f t="shared" si="2"/>
        <v>8</v>
      </c>
      <c r="H11" s="15" t="s">
        <v>4</v>
      </c>
      <c r="I11" s="17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8"/>
      <c r="X11" s="15"/>
    </row>
    <row r="12" spans="1:24" x14ac:dyDescent="0.2">
      <c r="A12" s="13">
        <f t="shared" si="1"/>
        <v>8</v>
      </c>
      <c r="B12" s="14" t="s">
        <v>32</v>
      </c>
      <c r="C12" s="15" t="s">
        <v>27</v>
      </c>
      <c r="D12" s="15" t="s">
        <v>25</v>
      </c>
      <c r="E12" s="16">
        <v>46296</v>
      </c>
      <c r="F12" s="16">
        <v>46302</v>
      </c>
      <c r="G12" s="13">
        <f t="shared" si="2"/>
        <v>7</v>
      </c>
      <c r="H12" s="15" t="s">
        <v>4</v>
      </c>
      <c r="I12" s="17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8"/>
      <c r="X12" s="15"/>
    </row>
    <row r="13" spans="1:24" x14ac:dyDescent="0.2">
      <c r="A13" s="13">
        <f t="shared" si="1"/>
        <v>9</v>
      </c>
      <c r="B13" s="14" t="s">
        <v>33</v>
      </c>
      <c r="C13" s="15" t="s">
        <v>24</v>
      </c>
      <c r="D13" s="15" t="s">
        <v>34</v>
      </c>
      <c r="E13" s="16">
        <v>46303</v>
      </c>
      <c r="F13" s="16">
        <v>46310</v>
      </c>
      <c r="G13" s="13">
        <f t="shared" si="2"/>
        <v>8</v>
      </c>
      <c r="H13" s="15" t="s">
        <v>5</v>
      </c>
      <c r="I13" s="17" t="s">
        <v>35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8"/>
      <c r="X13" s="15"/>
    </row>
    <row r="14" spans="1:24" x14ac:dyDescent="0.2">
      <c r="A14" s="13">
        <f t="shared" si="1"/>
        <v>10</v>
      </c>
      <c r="B14" s="14" t="s">
        <v>36</v>
      </c>
      <c r="C14" s="15" t="s">
        <v>24</v>
      </c>
      <c r="D14" s="15" t="s">
        <v>34</v>
      </c>
      <c r="E14" s="16">
        <v>46303</v>
      </c>
      <c r="F14" s="16">
        <v>46310</v>
      </c>
      <c r="G14" s="13">
        <f t="shared" si="2"/>
        <v>8</v>
      </c>
      <c r="H14" s="15" t="s">
        <v>6</v>
      </c>
      <c r="I14" s="17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8"/>
      <c r="X14" s="15"/>
    </row>
    <row r="15" spans="1:24" x14ac:dyDescent="0.2">
      <c r="A15" s="13">
        <f t="shared" si="1"/>
        <v>11</v>
      </c>
      <c r="B15" s="14" t="s">
        <v>37</v>
      </c>
      <c r="C15" s="15" t="s">
        <v>24</v>
      </c>
      <c r="D15" s="15" t="s">
        <v>34</v>
      </c>
      <c r="E15" s="16">
        <v>46303</v>
      </c>
      <c r="F15" s="16">
        <v>46310</v>
      </c>
      <c r="G15" s="13">
        <f t="shared" si="2"/>
        <v>8</v>
      </c>
      <c r="H15" s="15" t="s">
        <v>6</v>
      </c>
      <c r="I15" s="17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8"/>
      <c r="X15" s="15"/>
    </row>
    <row r="16" spans="1:24" x14ac:dyDescent="0.2">
      <c r="A16" s="13">
        <f t="shared" si="1"/>
        <v>12</v>
      </c>
      <c r="B16" s="14" t="s">
        <v>38</v>
      </c>
      <c r="C16" s="15" t="s">
        <v>24</v>
      </c>
      <c r="D16" s="15" t="s">
        <v>34</v>
      </c>
      <c r="E16" s="16">
        <v>46303</v>
      </c>
      <c r="F16" s="16">
        <v>46310</v>
      </c>
      <c r="G16" s="13">
        <f t="shared" si="2"/>
        <v>8</v>
      </c>
      <c r="H16" s="15" t="s">
        <v>6</v>
      </c>
      <c r="I16" s="17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8"/>
      <c r="X16" s="15"/>
    </row>
    <row r="17" spans="1:24" x14ac:dyDescent="0.2">
      <c r="A17" s="13">
        <f t="shared" si="1"/>
        <v>13</v>
      </c>
      <c r="B17" s="14" t="s">
        <v>39</v>
      </c>
      <c r="C17" s="15" t="s">
        <v>29</v>
      </c>
      <c r="D17" s="15" t="s">
        <v>34</v>
      </c>
      <c r="E17" s="16">
        <v>46303</v>
      </c>
      <c r="F17" s="16">
        <v>46310</v>
      </c>
      <c r="G17" s="13">
        <f t="shared" si="2"/>
        <v>8</v>
      </c>
      <c r="H17" s="15" t="s">
        <v>5</v>
      </c>
      <c r="I17" s="17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8"/>
      <c r="X17" s="15"/>
    </row>
    <row r="18" spans="1:24" x14ac:dyDescent="0.2">
      <c r="A18" s="13">
        <f t="shared" si="1"/>
        <v>14</v>
      </c>
      <c r="B18" s="14" t="s">
        <v>40</v>
      </c>
      <c r="C18" s="15" t="s">
        <v>29</v>
      </c>
      <c r="D18" s="15" t="s">
        <v>34</v>
      </c>
      <c r="E18" s="16">
        <v>46303</v>
      </c>
      <c r="F18" s="16">
        <v>46310</v>
      </c>
      <c r="G18" s="13">
        <f t="shared" si="2"/>
        <v>8</v>
      </c>
      <c r="H18" s="15" t="s">
        <v>5</v>
      </c>
      <c r="I18" s="17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8"/>
      <c r="X18" s="15"/>
    </row>
    <row r="19" spans="1:24" x14ac:dyDescent="0.2">
      <c r="A19" s="13">
        <f t="shared" si="1"/>
        <v>15</v>
      </c>
      <c r="B19" s="14" t="s">
        <v>41</v>
      </c>
      <c r="C19" s="15" t="s">
        <v>27</v>
      </c>
      <c r="D19" s="15" t="s">
        <v>34</v>
      </c>
      <c r="E19" s="16">
        <v>46303</v>
      </c>
      <c r="F19" s="16">
        <v>46310</v>
      </c>
      <c r="G19" s="13">
        <f t="shared" si="2"/>
        <v>8</v>
      </c>
      <c r="H19" s="15" t="s">
        <v>5</v>
      </c>
      <c r="I19" s="17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8"/>
      <c r="X19" s="15"/>
    </row>
    <row r="20" spans="1:24" x14ac:dyDescent="0.2">
      <c r="A20" s="13">
        <f t="shared" si="1"/>
        <v>16</v>
      </c>
      <c r="B20" s="14" t="s">
        <v>42</v>
      </c>
      <c r="C20" s="15" t="s">
        <v>27</v>
      </c>
      <c r="D20" s="15" t="s">
        <v>43</v>
      </c>
      <c r="E20" s="16">
        <v>46310</v>
      </c>
      <c r="F20" s="16">
        <v>46330</v>
      </c>
      <c r="G20" s="13">
        <f t="shared" si="2"/>
        <v>21</v>
      </c>
      <c r="H20" s="15" t="s">
        <v>6</v>
      </c>
      <c r="I20" s="17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8"/>
      <c r="X20" s="15"/>
    </row>
    <row r="21" spans="1:24" ht="15.75" customHeight="1" x14ac:dyDescent="0.2">
      <c r="A21" s="13">
        <f t="shared" si="1"/>
        <v>17</v>
      </c>
      <c r="B21" s="14" t="s">
        <v>44</v>
      </c>
      <c r="C21" s="15" t="s">
        <v>29</v>
      </c>
      <c r="D21" s="15" t="s">
        <v>43</v>
      </c>
      <c r="E21" s="16">
        <v>46310</v>
      </c>
      <c r="F21" s="16">
        <v>46331</v>
      </c>
      <c r="G21" s="13">
        <f t="shared" si="2"/>
        <v>22</v>
      </c>
      <c r="H21" s="15" t="s">
        <v>6</v>
      </c>
      <c r="I21" s="17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8"/>
      <c r="X21" s="15"/>
    </row>
    <row r="22" spans="1:24" ht="15.75" customHeight="1" x14ac:dyDescent="0.2">
      <c r="A22" s="13">
        <f t="shared" si="1"/>
        <v>18</v>
      </c>
      <c r="B22" s="14" t="s">
        <v>45</v>
      </c>
      <c r="C22" s="15" t="s">
        <v>24</v>
      </c>
      <c r="D22" s="15" t="s">
        <v>43</v>
      </c>
      <c r="E22" s="16">
        <v>46310</v>
      </c>
      <c r="F22" s="16">
        <v>46331</v>
      </c>
      <c r="G22" s="13">
        <f t="shared" si="2"/>
        <v>22</v>
      </c>
      <c r="H22" s="15" t="s">
        <v>6</v>
      </c>
      <c r="I22" s="17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8"/>
      <c r="X22" s="15"/>
    </row>
    <row r="23" spans="1:24" ht="15.75" customHeight="1" x14ac:dyDescent="0.2">
      <c r="A23" s="13">
        <f t="shared" si="1"/>
        <v>19</v>
      </c>
      <c r="B23" s="14" t="s">
        <v>46</v>
      </c>
      <c r="C23" s="15" t="s">
        <v>29</v>
      </c>
      <c r="D23" s="15" t="s">
        <v>43</v>
      </c>
      <c r="E23" s="16">
        <v>46310</v>
      </c>
      <c r="F23" s="16">
        <v>46331</v>
      </c>
      <c r="G23" s="13">
        <f t="shared" si="2"/>
        <v>22</v>
      </c>
      <c r="H23" s="15" t="s">
        <v>6</v>
      </c>
      <c r="I23" s="17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8"/>
      <c r="X23" s="15"/>
    </row>
    <row r="24" spans="1:24" ht="15.75" customHeight="1" x14ac:dyDescent="0.2">
      <c r="A24" s="13">
        <f t="shared" si="1"/>
        <v>20</v>
      </c>
      <c r="B24" s="14" t="s">
        <v>47</v>
      </c>
      <c r="C24" s="15" t="s">
        <v>24</v>
      </c>
      <c r="D24" s="15" t="s">
        <v>43</v>
      </c>
      <c r="E24" s="16">
        <v>46310</v>
      </c>
      <c r="F24" s="16">
        <v>46331</v>
      </c>
      <c r="G24" s="13">
        <f t="shared" si="2"/>
        <v>22</v>
      </c>
      <c r="H24" s="15" t="s">
        <v>6</v>
      </c>
      <c r="I24" s="17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8"/>
      <c r="X24" s="15"/>
    </row>
    <row r="25" spans="1:24" ht="15.75" customHeight="1" x14ac:dyDescent="0.2">
      <c r="A25" s="13">
        <f t="shared" si="1"/>
        <v>21</v>
      </c>
      <c r="B25" s="14" t="s">
        <v>48</v>
      </c>
      <c r="C25" s="15" t="s">
        <v>29</v>
      </c>
      <c r="D25" s="15" t="s">
        <v>43</v>
      </c>
      <c r="E25" s="16">
        <v>46310</v>
      </c>
      <c r="F25" s="16">
        <v>46331</v>
      </c>
      <c r="G25" s="13">
        <f t="shared" si="2"/>
        <v>22</v>
      </c>
      <c r="H25" s="15" t="s">
        <v>6</v>
      </c>
      <c r="I25" s="17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8"/>
      <c r="X25" s="15"/>
    </row>
    <row r="26" spans="1:24" ht="15.75" customHeight="1" x14ac:dyDescent="0.2">
      <c r="A26" s="13">
        <f t="shared" si="1"/>
        <v>22</v>
      </c>
      <c r="B26" s="14" t="s">
        <v>49</v>
      </c>
      <c r="C26" s="15" t="s">
        <v>27</v>
      </c>
      <c r="D26" s="15" t="s">
        <v>43</v>
      </c>
      <c r="E26" s="16">
        <v>46310</v>
      </c>
      <c r="F26" s="16">
        <v>46331</v>
      </c>
      <c r="G26" s="13">
        <f t="shared" si="2"/>
        <v>22</v>
      </c>
      <c r="H26" s="15" t="s">
        <v>6</v>
      </c>
      <c r="I26" s="17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8"/>
      <c r="X26" s="15"/>
    </row>
    <row r="27" spans="1:24" ht="15.75" customHeight="1" x14ac:dyDescent="0.2">
      <c r="A27" s="13">
        <f t="shared" si="1"/>
        <v>23</v>
      </c>
      <c r="B27" s="14" t="s">
        <v>50</v>
      </c>
      <c r="C27" s="15" t="s">
        <v>24</v>
      </c>
      <c r="D27" s="15" t="s">
        <v>51</v>
      </c>
      <c r="E27" s="16">
        <v>46331</v>
      </c>
      <c r="F27" s="16">
        <v>46350</v>
      </c>
      <c r="G27" s="13">
        <f t="shared" si="2"/>
        <v>20</v>
      </c>
      <c r="H27" s="15" t="s">
        <v>6</v>
      </c>
      <c r="I27" s="17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8"/>
      <c r="X27" s="15"/>
    </row>
    <row r="28" spans="1:24" ht="15.75" customHeight="1" x14ac:dyDescent="0.2">
      <c r="A28" s="13">
        <f t="shared" si="1"/>
        <v>24</v>
      </c>
      <c r="B28" s="14" t="s">
        <v>52</v>
      </c>
      <c r="C28" s="15" t="s">
        <v>20</v>
      </c>
      <c r="D28" s="15" t="s">
        <v>51</v>
      </c>
      <c r="E28" s="16">
        <v>46331</v>
      </c>
      <c r="F28" s="16">
        <v>46350</v>
      </c>
      <c r="G28" s="13">
        <f t="shared" si="2"/>
        <v>20</v>
      </c>
      <c r="H28" s="15" t="s">
        <v>6</v>
      </c>
      <c r="I28" s="17" t="s">
        <v>53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8"/>
      <c r="X28" s="15"/>
    </row>
    <row r="29" spans="1:24" ht="15.75" customHeight="1" x14ac:dyDescent="0.2">
      <c r="A29" s="13">
        <f t="shared" si="1"/>
        <v>25</v>
      </c>
      <c r="B29" s="14" t="s">
        <v>54</v>
      </c>
      <c r="C29" s="15" t="s">
        <v>20</v>
      </c>
      <c r="D29" s="15" t="s">
        <v>55</v>
      </c>
      <c r="E29" s="16">
        <v>46351</v>
      </c>
      <c r="F29" s="16">
        <v>46358</v>
      </c>
      <c r="G29" s="13">
        <f t="shared" si="2"/>
        <v>8</v>
      </c>
      <c r="H29" s="15" t="s">
        <v>6</v>
      </c>
      <c r="I29" s="17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8"/>
      <c r="X29" s="15"/>
    </row>
    <row r="30" spans="1:24" ht="15.75" customHeight="1" x14ac:dyDescent="0.2">
      <c r="A30" s="13">
        <f t="shared" si="1"/>
        <v>26</v>
      </c>
      <c r="B30" s="14" t="s">
        <v>56</v>
      </c>
      <c r="C30" s="15" t="s">
        <v>20</v>
      </c>
      <c r="D30" s="15" t="s">
        <v>57</v>
      </c>
      <c r="E30" s="16">
        <v>46353</v>
      </c>
      <c r="F30" s="16">
        <v>46365</v>
      </c>
      <c r="G30" s="13">
        <f t="shared" si="2"/>
        <v>13</v>
      </c>
      <c r="H30" s="15" t="s">
        <v>6</v>
      </c>
      <c r="I30" s="17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8"/>
      <c r="X30" s="15"/>
    </row>
    <row r="31" spans="1:24" ht="15.75" customHeight="1" x14ac:dyDescent="0.2">
      <c r="A31" s="13" t="str">
        <f t="shared" si="1"/>
        <v/>
      </c>
      <c r="B31" s="14"/>
      <c r="C31" s="15"/>
      <c r="D31" s="15"/>
      <c r="E31" s="16"/>
      <c r="F31" s="16"/>
      <c r="G31" s="13" t="str">
        <f t="shared" si="2"/>
        <v/>
      </c>
      <c r="H31" s="15"/>
      <c r="I31" s="17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1:24" ht="15.75" customHeight="1" x14ac:dyDescent="0.2">
      <c r="A32" s="13" t="str">
        <f t="shared" si="1"/>
        <v/>
      </c>
      <c r="B32" s="14"/>
      <c r="C32" s="15"/>
      <c r="D32" s="15"/>
      <c r="E32" s="16"/>
      <c r="F32" s="16"/>
      <c r="G32" s="13" t="str">
        <f t="shared" si="2"/>
        <v/>
      </c>
      <c r="H32" s="15"/>
      <c r="I32" s="17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spans="1:24" ht="15.75" customHeight="1" x14ac:dyDescent="0.2">
      <c r="A33" s="13" t="str">
        <f t="shared" si="1"/>
        <v/>
      </c>
      <c r="B33" s="14"/>
      <c r="C33" s="15"/>
      <c r="D33" s="15"/>
      <c r="E33" s="16"/>
      <c r="F33" s="16"/>
      <c r="G33" s="13" t="str">
        <f t="shared" si="2"/>
        <v/>
      </c>
      <c r="H33" s="15"/>
      <c r="I33" s="17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 ht="15.75" customHeight="1" x14ac:dyDescent="0.2">
      <c r="A34" s="13" t="str">
        <f t="shared" si="1"/>
        <v/>
      </c>
      <c r="B34" s="14"/>
      <c r="C34" s="15"/>
      <c r="D34" s="15"/>
      <c r="E34" s="16"/>
      <c r="F34" s="16"/>
      <c r="G34" s="13" t="str">
        <f t="shared" si="2"/>
        <v/>
      </c>
      <c r="H34" s="15"/>
      <c r="I34" s="17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 ht="15.75" customHeight="1" x14ac:dyDescent="0.2">
      <c r="A35" s="13" t="str">
        <f t="shared" si="1"/>
        <v/>
      </c>
      <c r="B35" s="14"/>
      <c r="C35" s="15"/>
      <c r="D35" s="15"/>
      <c r="E35" s="16"/>
      <c r="F35" s="16"/>
      <c r="G35" s="13" t="str">
        <f t="shared" si="2"/>
        <v/>
      </c>
      <c r="H35" s="15"/>
      <c r="I35" s="17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 ht="15.75" customHeight="1" x14ac:dyDescent="0.2">
      <c r="A36" s="13" t="str">
        <f t="shared" si="1"/>
        <v/>
      </c>
      <c r="B36" s="14"/>
      <c r="C36" s="15"/>
      <c r="D36" s="15"/>
      <c r="E36" s="16"/>
      <c r="F36" s="16"/>
      <c r="G36" s="13" t="str">
        <f t="shared" si="2"/>
        <v/>
      </c>
      <c r="H36" s="15"/>
      <c r="I36" s="17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1:24" ht="15.75" customHeight="1" x14ac:dyDescent="0.2">
      <c r="A37" s="13" t="str">
        <f t="shared" si="1"/>
        <v/>
      </c>
      <c r="B37" s="14"/>
      <c r="C37" s="15"/>
      <c r="D37" s="15"/>
      <c r="E37" s="16"/>
      <c r="F37" s="16"/>
      <c r="G37" s="13" t="str">
        <f t="shared" si="2"/>
        <v/>
      </c>
      <c r="H37" s="15"/>
      <c r="I37" s="17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4" ht="15.75" customHeight="1" x14ac:dyDescent="0.2">
      <c r="A38" s="13" t="str">
        <f t="shared" si="1"/>
        <v/>
      </c>
      <c r="B38" s="14"/>
      <c r="C38" s="15"/>
      <c r="D38" s="15"/>
      <c r="E38" s="16"/>
      <c r="F38" s="16"/>
      <c r="G38" s="13" t="str">
        <f t="shared" si="2"/>
        <v/>
      </c>
      <c r="H38" s="15"/>
      <c r="I38" s="17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 ht="15.75" customHeight="1" x14ac:dyDescent="0.2">
      <c r="A39" s="13" t="str">
        <f t="shared" si="1"/>
        <v/>
      </c>
      <c r="B39" s="14"/>
      <c r="C39" s="15"/>
      <c r="D39" s="15"/>
      <c r="E39" s="16"/>
      <c r="F39" s="16"/>
      <c r="G39" s="13" t="str">
        <f t="shared" si="2"/>
        <v/>
      </c>
      <c r="H39" s="15"/>
      <c r="I39" s="17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spans="1:24" ht="15.75" customHeight="1" x14ac:dyDescent="0.2">
      <c r="A40" s="13" t="str">
        <f t="shared" si="1"/>
        <v/>
      </c>
      <c r="B40" s="14"/>
      <c r="C40" s="15"/>
      <c r="D40" s="15"/>
      <c r="E40" s="16"/>
      <c r="F40" s="16"/>
      <c r="G40" s="13" t="str">
        <f t="shared" si="2"/>
        <v/>
      </c>
      <c r="H40" s="15"/>
      <c r="I40" s="17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4" ht="15.75" customHeight="1" x14ac:dyDescent="0.2">
      <c r="A41" s="13" t="str">
        <f t="shared" si="1"/>
        <v/>
      </c>
      <c r="B41" s="14"/>
      <c r="C41" s="15"/>
      <c r="D41" s="15"/>
      <c r="E41" s="16"/>
      <c r="F41" s="16"/>
      <c r="G41" s="13" t="str">
        <f t="shared" si="2"/>
        <v/>
      </c>
      <c r="H41" s="15"/>
      <c r="I41" s="17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 ht="15.75" customHeight="1" x14ac:dyDescent="0.2">
      <c r="A42" s="13" t="str">
        <f t="shared" si="1"/>
        <v/>
      </c>
      <c r="B42" s="14"/>
      <c r="C42" s="15"/>
      <c r="D42" s="15"/>
      <c r="E42" s="16"/>
      <c r="F42" s="16"/>
      <c r="G42" s="13" t="str">
        <f t="shared" si="2"/>
        <v/>
      </c>
      <c r="H42" s="15"/>
      <c r="I42" s="17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4" ht="15.75" customHeight="1" x14ac:dyDescent="0.2">
      <c r="A43" s="13" t="str">
        <f t="shared" si="1"/>
        <v/>
      </c>
      <c r="B43" s="14"/>
      <c r="C43" s="15"/>
      <c r="D43" s="15"/>
      <c r="E43" s="16"/>
      <c r="F43" s="16"/>
      <c r="G43" s="13" t="str">
        <f t="shared" si="2"/>
        <v/>
      </c>
      <c r="H43" s="15"/>
      <c r="I43" s="17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4" ht="15.75" customHeight="1" x14ac:dyDescent="0.2">
      <c r="A44" s="13" t="str">
        <f t="shared" si="1"/>
        <v/>
      </c>
      <c r="B44" s="14"/>
      <c r="C44" s="15"/>
      <c r="D44" s="15"/>
      <c r="E44" s="16"/>
      <c r="F44" s="16"/>
      <c r="G44" s="13" t="str">
        <f t="shared" si="2"/>
        <v/>
      </c>
      <c r="H44" s="15"/>
      <c r="I44" s="17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 ht="15.75" customHeight="1" x14ac:dyDescent="0.2">
      <c r="A45" s="13" t="str">
        <f t="shared" si="1"/>
        <v/>
      </c>
      <c r="B45" s="14"/>
      <c r="C45" s="15"/>
      <c r="D45" s="15"/>
      <c r="E45" s="16"/>
      <c r="F45" s="16"/>
      <c r="G45" s="13" t="str">
        <f t="shared" si="2"/>
        <v/>
      </c>
      <c r="H45" s="15"/>
      <c r="I45" s="17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1:24" ht="15.75" customHeight="1" x14ac:dyDescent="0.2">
      <c r="A46" s="13" t="str">
        <f t="shared" si="1"/>
        <v/>
      </c>
      <c r="B46" s="14"/>
      <c r="C46" s="15"/>
      <c r="D46" s="15"/>
      <c r="E46" s="16"/>
      <c r="F46" s="16"/>
      <c r="G46" s="13" t="str">
        <f t="shared" si="2"/>
        <v/>
      </c>
      <c r="H46" s="15"/>
      <c r="I46" s="17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1:24" ht="15.75" customHeight="1" x14ac:dyDescent="0.2">
      <c r="A47" s="13" t="str">
        <f t="shared" si="1"/>
        <v/>
      </c>
      <c r="B47" s="14"/>
      <c r="C47" s="15"/>
      <c r="D47" s="15"/>
      <c r="E47" s="16"/>
      <c r="F47" s="16"/>
      <c r="G47" s="13" t="str">
        <f t="shared" si="2"/>
        <v/>
      </c>
      <c r="H47" s="15"/>
      <c r="I47" s="17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 ht="15.75" customHeight="1" x14ac:dyDescent="0.2">
      <c r="A48" s="13" t="str">
        <f t="shared" si="1"/>
        <v/>
      </c>
      <c r="B48" s="14"/>
      <c r="C48" s="15"/>
      <c r="D48" s="15"/>
      <c r="E48" s="16"/>
      <c r="F48" s="16"/>
      <c r="G48" s="13" t="str">
        <f t="shared" si="2"/>
        <v/>
      </c>
      <c r="H48" s="15"/>
      <c r="I48" s="17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spans="1:24" ht="15.75" customHeight="1" x14ac:dyDescent="0.2">
      <c r="A49" s="13" t="str">
        <f t="shared" si="1"/>
        <v/>
      </c>
      <c r="B49" s="14"/>
      <c r="C49" s="15"/>
      <c r="D49" s="15"/>
      <c r="E49" s="16"/>
      <c r="F49" s="16"/>
      <c r="G49" s="13" t="str">
        <f t="shared" si="2"/>
        <v/>
      </c>
      <c r="H49" s="15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1:24" ht="15.75" customHeight="1" x14ac:dyDescent="0.2">
      <c r="A50" s="13" t="str">
        <f t="shared" si="1"/>
        <v/>
      </c>
      <c r="B50" s="14"/>
      <c r="C50" s="15"/>
      <c r="D50" s="15"/>
      <c r="E50" s="16"/>
      <c r="F50" s="16"/>
      <c r="G50" s="13" t="str">
        <f t="shared" si="2"/>
        <v/>
      </c>
      <c r="H50" s="15"/>
      <c r="I50" s="17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1:24" ht="15.75" customHeight="1" x14ac:dyDescent="0.2">
      <c r="A51" s="13" t="str">
        <f t="shared" si="1"/>
        <v/>
      </c>
      <c r="B51" s="14"/>
      <c r="C51" s="15"/>
      <c r="D51" s="15"/>
      <c r="E51" s="16"/>
      <c r="F51" s="16"/>
      <c r="G51" s="13" t="str">
        <f t="shared" si="2"/>
        <v/>
      </c>
      <c r="H51" s="15"/>
      <c r="I51" s="17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spans="1:24" ht="15.75" customHeight="1" x14ac:dyDescent="0.2">
      <c r="A52" s="13" t="str">
        <f t="shared" si="1"/>
        <v/>
      </c>
      <c r="B52" s="14"/>
      <c r="C52" s="15"/>
      <c r="D52" s="15"/>
      <c r="E52" s="16"/>
      <c r="F52" s="16"/>
      <c r="G52" s="13" t="str">
        <f t="shared" si="2"/>
        <v/>
      </c>
      <c r="H52" s="15"/>
      <c r="I52" s="17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spans="1:24" ht="15.75" customHeight="1" x14ac:dyDescent="0.2">
      <c r="A53" s="13" t="str">
        <f t="shared" si="1"/>
        <v/>
      </c>
      <c r="B53" s="14"/>
      <c r="C53" s="15"/>
      <c r="D53" s="15"/>
      <c r="E53" s="16"/>
      <c r="F53" s="16"/>
      <c r="G53" s="13" t="str">
        <f t="shared" si="2"/>
        <v/>
      </c>
      <c r="H53" s="15"/>
      <c r="I53" s="17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1:24" ht="15.75" customHeight="1" x14ac:dyDescent="0.2">
      <c r="A54" s="13" t="str">
        <f t="shared" si="1"/>
        <v/>
      </c>
      <c r="B54" s="14"/>
      <c r="C54" s="15"/>
      <c r="D54" s="15"/>
      <c r="E54" s="16"/>
      <c r="F54" s="16"/>
      <c r="G54" s="13" t="str">
        <f t="shared" si="2"/>
        <v/>
      </c>
      <c r="H54" s="15"/>
      <c r="I54" s="17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spans="1:24" ht="15.75" customHeight="1" x14ac:dyDescent="0.2">
      <c r="A55" s="13" t="str">
        <f t="shared" si="1"/>
        <v/>
      </c>
      <c r="B55" s="14"/>
      <c r="C55" s="15"/>
      <c r="D55" s="15"/>
      <c r="E55" s="16"/>
      <c r="F55" s="16"/>
      <c r="G55" s="13" t="str">
        <f t="shared" si="2"/>
        <v/>
      </c>
      <c r="H55" s="15"/>
      <c r="I55" s="17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spans="1:24" ht="15.75" customHeight="1" x14ac:dyDescent="0.2">
      <c r="A56" s="13" t="str">
        <f t="shared" si="1"/>
        <v/>
      </c>
      <c r="B56" s="14"/>
      <c r="C56" s="15"/>
      <c r="D56" s="15"/>
      <c r="E56" s="16"/>
      <c r="F56" s="16"/>
      <c r="G56" s="13" t="str">
        <f t="shared" si="2"/>
        <v/>
      </c>
      <c r="H56" s="15"/>
      <c r="I56" s="17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spans="1:24" ht="15.75" customHeight="1" x14ac:dyDescent="0.2">
      <c r="A57" s="13" t="str">
        <f t="shared" si="1"/>
        <v/>
      </c>
      <c r="B57" s="14"/>
      <c r="C57" s="15"/>
      <c r="D57" s="15"/>
      <c r="E57" s="16"/>
      <c r="F57" s="16"/>
      <c r="G57" s="13" t="str">
        <f t="shared" si="2"/>
        <v/>
      </c>
      <c r="H57" s="15"/>
      <c r="I57" s="17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spans="1:24" ht="15.75" customHeight="1" x14ac:dyDescent="0.2">
      <c r="A58" s="13" t="str">
        <f t="shared" si="1"/>
        <v/>
      </c>
      <c r="B58" s="14"/>
      <c r="C58" s="15"/>
      <c r="D58" s="15"/>
      <c r="E58" s="16"/>
      <c r="F58" s="16"/>
      <c r="G58" s="13" t="str">
        <f t="shared" si="2"/>
        <v/>
      </c>
      <c r="H58" s="15"/>
      <c r="I58" s="17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spans="1:24" ht="15.75" customHeight="1" x14ac:dyDescent="0.2">
      <c r="A59" s="13" t="str">
        <f t="shared" si="1"/>
        <v/>
      </c>
      <c r="B59" s="14"/>
      <c r="C59" s="15"/>
      <c r="D59" s="15"/>
      <c r="E59" s="16"/>
      <c r="F59" s="16"/>
      <c r="G59" s="13" t="str">
        <f t="shared" si="2"/>
        <v/>
      </c>
      <c r="H59" s="15"/>
      <c r="I59" s="17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spans="1:24" ht="15.75" customHeight="1" x14ac:dyDescent="0.2">
      <c r="A60" s="13" t="str">
        <f t="shared" si="1"/>
        <v/>
      </c>
      <c r="B60" s="14"/>
      <c r="C60" s="15"/>
      <c r="D60" s="15"/>
      <c r="E60" s="16"/>
      <c r="F60" s="16"/>
      <c r="G60" s="13" t="str">
        <f t="shared" si="2"/>
        <v/>
      </c>
      <c r="H60" s="15"/>
      <c r="I60" s="17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spans="1:24" ht="15.75" customHeight="1" x14ac:dyDescent="0.2">
      <c r="A61" s="13" t="str">
        <f t="shared" si="1"/>
        <v/>
      </c>
      <c r="B61" s="14"/>
      <c r="C61" s="15"/>
      <c r="D61" s="15"/>
      <c r="E61" s="16"/>
      <c r="F61" s="16"/>
      <c r="G61" s="13" t="str">
        <f t="shared" si="2"/>
        <v/>
      </c>
      <c r="H61" s="15"/>
      <c r="I61" s="17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 ht="15.75" customHeight="1" x14ac:dyDescent="0.2">
      <c r="A62" s="13" t="str">
        <f t="shared" si="1"/>
        <v/>
      </c>
      <c r="B62" s="14"/>
      <c r="C62" s="15"/>
      <c r="D62" s="15"/>
      <c r="E62" s="16"/>
      <c r="F62" s="16"/>
      <c r="G62" s="13" t="str">
        <f t="shared" si="2"/>
        <v/>
      </c>
      <c r="H62" s="15"/>
      <c r="I62" s="17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spans="1:24" ht="15.75" customHeight="1" x14ac:dyDescent="0.2">
      <c r="A63" s="13" t="str">
        <f t="shared" si="1"/>
        <v/>
      </c>
      <c r="B63" s="14"/>
      <c r="C63" s="15"/>
      <c r="D63" s="15"/>
      <c r="E63" s="16"/>
      <c r="F63" s="16"/>
      <c r="G63" s="13" t="str">
        <f t="shared" si="2"/>
        <v/>
      </c>
      <c r="H63" s="15"/>
      <c r="I63" s="17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spans="1:24" ht="15.75" customHeight="1" x14ac:dyDescent="0.2">
      <c r="A64" s="13" t="str">
        <f t="shared" si="1"/>
        <v/>
      </c>
      <c r="B64" s="14"/>
      <c r="C64" s="15"/>
      <c r="D64" s="15"/>
      <c r="E64" s="16"/>
      <c r="F64" s="16"/>
      <c r="G64" s="13" t="str">
        <f t="shared" si="2"/>
        <v/>
      </c>
      <c r="H64" s="15"/>
      <c r="I64" s="17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spans="5:8" ht="15.75" customHeight="1" x14ac:dyDescent="0.2"/>
    <row r="98" spans="5:8" ht="15.75" customHeight="1" x14ac:dyDescent="0.2"/>
    <row r="99" spans="5:8" ht="15.75" customHeight="1" x14ac:dyDescent="0.2"/>
    <row r="100" spans="5:8" ht="15.75" customHeight="1" x14ac:dyDescent="0.2"/>
    <row r="101" spans="5:8" ht="15.75" customHeight="1" x14ac:dyDescent="0.2"/>
    <row r="102" spans="5:8" ht="15.75" customHeight="1" x14ac:dyDescent="0.2"/>
    <row r="103" spans="5:8" ht="15.75" customHeight="1" x14ac:dyDescent="0.2"/>
    <row r="104" spans="5:8" ht="15.75" customHeight="1" x14ac:dyDescent="0.2"/>
    <row r="105" spans="5:8" ht="15.75" customHeight="1" x14ac:dyDescent="0.2"/>
    <row r="106" spans="5:8" ht="15.75" customHeight="1" x14ac:dyDescent="0.2"/>
    <row r="107" spans="5:8" ht="15.75" customHeight="1" x14ac:dyDescent="0.2"/>
    <row r="108" spans="5:8" ht="15.75" customHeight="1" x14ac:dyDescent="0.2"/>
    <row r="109" spans="5:8" ht="15.75" customHeight="1" x14ac:dyDescent="0.2"/>
    <row r="110" spans="5:8" ht="15.75" customHeight="1" x14ac:dyDescent="0.2"/>
    <row r="111" spans="5:8" ht="15.75" customHeight="1" x14ac:dyDescent="0.2"/>
    <row r="112" spans="5:8" ht="15.75" customHeight="1" x14ac:dyDescent="0.2">
      <c r="E112" s="19">
        <v>1</v>
      </c>
      <c r="F112" s="20">
        <v>46090</v>
      </c>
      <c r="G112" s="19" t="s">
        <v>21</v>
      </c>
      <c r="H112" s="19" t="s">
        <v>58</v>
      </c>
    </row>
    <row r="113" spans="5:8" ht="15.75" customHeight="1" x14ac:dyDescent="0.2">
      <c r="E113" s="19">
        <v>2</v>
      </c>
      <c r="F113" s="20">
        <v>46335</v>
      </c>
      <c r="G113" s="19" t="s">
        <v>59</v>
      </c>
      <c r="H113" s="19" t="s">
        <v>60</v>
      </c>
    </row>
    <row r="114" spans="5:8" ht="15.75" customHeight="1" x14ac:dyDescent="0.2">
      <c r="E114" s="19">
        <v>3</v>
      </c>
      <c r="F114" s="19" t="s">
        <v>61</v>
      </c>
      <c r="G114" s="19" t="s">
        <v>62</v>
      </c>
      <c r="H114" s="19" t="s">
        <v>63</v>
      </c>
    </row>
    <row r="115" spans="5:8" ht="15.75" customHeight="1" x14ac:dyDescent="0.2">
      <c r="E115" s="19">
        <v>4</v>
      </c>
      <c r="F115" s="19" t="s">
        <v>64</v>
      </c>
      <c r="G115" s="19" t="s">
        <v>65</v>
      </c>
      <c r="H115" s="19" t="s">
        <v>66</v>
      </c>
    </row>
    <row r="116" spans="5:8" ht="15.75" customHeight="1" x14ac:dyDescent="0.2">
      <c r="E116" s="19">
        <v>5</v>
      </c>
      <c r="F116" s="20">
        <v>46032</v>
      </c>
      <c r="G116" s="19" t="s">
        <v>67</v>
      </c>
      <c r="H116" s="19" t="s">
        <v>68</v>
      </c>
    </row>
    <row r="117" spans="5:8" ht="15.75" customHeight="1" x14ac:dyDescent="0.2">
      <c r="E117" s="19">
        <v>6</v>
      </c>
      <c r="F117" s="20">
        <v>46244</v>
      </c>
      <c r="G117" s="21" t="s">
        <v>34</v>
      </c>
      <c r="H117" s="19" t="s">
        <v>69</v>
      </c>
    </row>
    <row r="118" spans="5:8" ht="15.75" customHeight="1" x14ac:dyDescent="0.2">
      <c r="E118" s="19">
        <v>7</v>
      </c>
      <c r="F118" s="19" t="s">
        <v>70</v>
      </c>
      <c r="G118" s="19" t="s">
        <v>71</v>
      </c>
      <c r="H118" s="19" t="s">
        <v>72</v>
      </c>
    </row>
    <row r="119" spans="5:8" ht="15.75" customHeight="1" x14ac:dyDescent="0.2">
      <c r="E119" s="19">
        <v>8</v>
      </c>
      <c r="F119" s="20">
        <v>46123</v>
      </c>
      <c r="G119" s="21" t="s">
        <v>43</v>
      </c>
      <c r="H119" s="19" t="s">
        <v>73</v>
      </c>
    </row>
    <row r="120" spans="5:8" ht="15.75" customHeight="1" x14ac:dyDescent="0.2">
      <c r="E120" s="19">
        <v>9</v>
      </c>
      <c r="F120" s="20">
        <v>46153</v>
      </c>
      <c r="G120" s="19" t="s">
        <v>74</v>
      </c>
      <c r="H120" s="19" t="s">
        <v>75</v>
      </c>
    </row>
    <row r="121" spans="5:8" ht="15.75" customHeight="1" x14ac:dyDescent="0.2">
      <c r="E121" s="19">
        <v>10</v>
      </c>
      <c r="F121" s="19" t="s">
        <v>76</v>
      </c>
      <c r="G121" s="19" t="s">
        <v>77</v>
      </c>
      <c r="H121" s="19" t="s">
        <v>78</v>
      </c>
    </row>
    <row r="122" spans="5:8" ht="15.75" customHeight="1" x14ac:dyDescent="0.2">
      <c r="E122" s="19">
        <v>11</v>
      </c>
      <c r="F122" s="19" t="s">
        <v>79</v>
      </c>
      <c r="G122" s="19" t="s">
        <v>77</v>
      </c>
      <c r="H122" s="19" t="s">
        <v>80</v>
      </c>
    </row>
    <row r="123" spans="5:8" ht="15.75" customHeight="1" x14ac:dyDescent="0.2">
      <c r="E123" s="19" t="s">
        <v>81</v>
      </c>
      <c r="F123" s="20">
        <v>46246</v>
      </c>
      <c r="G123" s="19" t="s">
        <v>82</v>
      </c>
      <c r="H123" s="19" t="s">
        <v>83</v>
      </c>
    </row>
    <row r="124" spans="5:8" ht="15.75" customHeight="1" x14ac:dyDescent="0.2">
      <c r="E124" s="19">
        <v>12</v>
      </c>
      <c r="F124" s="20">
        <v>46277</v>
      </c>
      <c r="G124" s="19" t="s">
        <v>84</v>
      </c>
      <c r="H124" s="19" t="s">
        <v>85</v>
      </c>
    </row>
    <row r="125" spans="5:8" ht="15.75" customHeight="1" x14ac:dyDescent="0.2"/>
    <row r="126" spans="5:8" ht="15.75" customHeight="1" x14ac:dyDescent="0.2"/>
    <row r="127" spans="5:8" ht="15.75" customHeight="1" x14ac:dyDescent="0.2"/>
    <row r="128" spans="5: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I64" xr:uid="{00000000-0009-0000-0000-000000000000}"/>
  <mergeCells count="4">
    <mergeCell ref="J2:K2"/>
    <mergeCell ref="L2:M2"/>
    <mergeCell ref="N2:O2"/>
    <mergeCell ref="P2:Q2"/>
  </mergeCells>
  <conditionalFormatting sqref="F5:F64">
    <cfRule type="expression" dxfId="9" priority="1">
      <formula>AND($F5&lt;&gt;"",$F5&lt;TODAY(),$H5&lt;&gt;"Terminé")</formula>
    </cfRule>
  </conditionalFormatting>
  <conditionalFormatting sqref="H5:H64">
    <cfRule type="cellIs" dxfId="8" priority="2" operator="equal">
      <formula>"Terminé"</formula>
    </cfRule>
    <cfRule type="cellIs" dxfId="7" priority="3" operator="equal">
      <formula>"En cours"</formula>
    </cfRule>
    <cfRule type="cellIs" dxfId="6" priority="4" operator="equal">
      <formula>"Bloqué"</formula>
    </cfRule>
  </conditionalFormatting>
  <conditionalFormatting sqref="J4:X4">
    <cfRule type="expression" dxfId="5" priority="5">
      <formula>AND(TODAY()&gt;=J$4,TODAY()&lt;J$4+7)</formula>
    </cfRule>
  </conditionalFormatting>
  <conditionalFormatting sqref="J5:X64">
    <cfRule type="expression" dxfId="4" priority="6" stopIfTrue="1">
      <formula>AND(AND($E5&lt;&gt;"",$F5&lt;&gt;"",$E5&lt;=J$4+6,$F5&gt;=J$4),$H5="Terminé")</formula>
    </cfRule>
    <cfRule type="expression" dxfId="3" priority="7" stopIfTrue="1">
      <formula>AND(AND($E5&lt;&gt;"",$F5&lt;&gt;"",$E5&lt;=J$4+6,$F5&gt;=J$4),$F5&lt;TODAY())</formula>
    </cfRule>
    <cfRule type="expression" dxfId="2" priority="8" stopIfTrue="1">
      <formula>AND(AND($E5&lt;&gt;"",$F5&lt;&gt;"",$E5&lt;=J$4+6,$F5&gt;=J$4),$H5="En cours")</formula>
    </cfRule>
    <cfRule type="expression" dxfId="1" priority="9" stopIfTrue="1">
      <formula>AND($E5&lt;&gt;"",$F5&lt;&gt;"",$E5&lt;=J$4+6,$F5&gt;=J$4)</formula>
    </cfRule>
    <cfRule type="expression" dxfId="0" priority="10">
      <formula>AND(TODAY()&gt;=J$4,TODAY()&lt;J$4+7)</formula>
    </cfRule>
  </conditionalFormatting>
  <dataValidations count="1">
    <dataValidation type="date" operator="greaterThan" allowBlank="1" showInputMessage="1" showErrorMessage="1" prompt="Entrez une date (JJ/MM/AAAA)" sqref="E5:F64" xr:uid="{00000000-0002-0000-0000-000002000000}">
      <formula1>DATE(2026,1,1)</formula1>
    </dataValidation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Listes!$A$2:$A$20</xm:f>
          </x14:formula1>
          <xm:sqref>H5:H64</xm:sqref>
        </x14:dataValidation>
        <x14:dataValidation type="list" allowBlank="1" xr:uid="{00000000-0002-0000-0000-000001000000}">
          <x14:formula1>
            <xm:f>Listes!$C$2:$C$20</xm:f>
          </x14:formula1>
          <xm:sqref>D5:D64</xm:sqref>
        </x14:dataValidation>
        <x14:dataValidation type="list" allowBlank="1" xr:uid="{00000000-0002-0000-0000-000003000000}">
          <x14:formula1>
            <xm:f>Listes!$B$2:$B$20</xm:f>
          </x14:formula1>
          <xm:sqref>C5:C64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showGridLines="0" workbookViewId="0"/>
  </sheetViews>
  <sheetFormatPr baseColWidth="10" defaultColWidth="14.5" defaultRowHeight="15" customHeight="1" x14ac:dyDescent="0.2"/>
  <cols>
    <col min="1" max="3" width="14" customWidth="1"/>
    <col min="4" max="4" width="8.83203125" customWidth="1"/>
    <col min="5" max="5" width="8" customWidth="1"/>
    <col min="6" max="6" width="12" customWidth="1"/>
    <col min="7" max="7" width="34" customWidth="1"/>
    <col min="8" max="26" width="8.83203125" customWidth="1"/>
  </cols>
  <sheetData>
    <row r="1" spans="1:7" x14ac:dyDescent="0.2">
      <c r="A1" s="22" t="s">
        <v>17</v>
      </c>
      <c r="B1" s="22" t="s">
        <v>86</v>
      </c>
      <c r="C1" s="22" t="s">
        <v>13</v>
      </c>
      <c r="E1" s="22" t="s">
        <v>87</v>
      </c>
      <c r="F1" s="22" t="s">
        <v>88</v>
      </c>
      <c r="G1" s="22" t="s">
        <v>89</v>
      </c>
    </row>
    <row r="2" spans="1:7" x14ac:dyDescent="0.2">
      <c r="A2" s="3" t="s">
        <v>6</v>
      </c>
      <c r="B2" s="3" t="s">
        <v>24</v>
      </c>
      <c r="C2" s="3" t="s">
        <v>21</v>
      </c>
      <c r="D2" s="3"/>
      <c r="E2" s="3">
        <v>1</v>
      </c>
      <c r="F2" s="23">
        <v>46268</v>
      </c>
      <c r="G2" s="3" t="s">
        <v>90</v>
      </c>
    </row>
    <row r="3" spans="1:7" x14ac:dyDescent="0.2">
      <c r="A3" s="3" t="s">
        <v>5</v>
      </c>
      <c r="B3" s="3" t="s">
        <v>29</v>
      </c>
      <c r="C3" s="3" t="s">
        <v>25</v>
      </c>
      <c r="D3" s="3"/>
      <c r="E3" s="3">
        <v>2</v>
      </c>
      <c r="F3" s="23">
        <v>46276</v>
      </c>
      <c r="G3" s="3" t="s">
        <v>91</v>
      </c>
    </row>
    <row r="4" spans="1:7" x14ac:dyDescent="0.2">
      <c r="A4" s="3" t="s">
        <v>4</v>
      </c>
      <c r="B4" s="3" t="s">
        <v>27</v>
      </c>
      <c r="C4" s="3" t="s">
        <v>34</v>
      </c>
      <c r="D4" s="3"/>
      <c r="E4" s="3">
        <v>3</v>
      </c>
      <c r="F4" s="23">
        <v>46281</v>
      </c>
      <c r="G4" s="3" t="s">
        <v>62</v>
      </c>
    </row>
    <row r="5" spans="1:7" x14ac:dyDescent="0.2">
      <c r="A5" s="3" t="s">
        <v>92</v>
      </c>
      <c r="B5" s="3" t="s">
        <v>20</v>
      </c>
      <c r="C5" s="3" t="s">
        <v>43</v>
      </c>
      <c r="D5" s="3"/>
      <c r="E5" s="3">
        <v>4</v>
      </c>
      <c r="F5" s="23">
        <v>46289</v>
      </c>
      <c r="G5" s="3" t="s">
        <v>65</v>
      </c>
    </row>
    <row r="6" spans="1:7" x14ac:dyDescent="0.2">
      <c r="A6" s="3"/>
      <c r="B6" s="3"/>
      <c r="C6" s="3" t="s">
        <v>51</v>
      </c>
      <c r="D6" s="3"/>
      <c r="E6" s="3">
        <v>5</v>
      </c>
      <c r="F6" s="23">
        <v>46296</v>
      </c>
      <c r="G6" s="3" t="s">
        <v>93</v>
      </c>
    </row>
    <row r="7" spans="1:7" x14ac:dyDescent="0.2">
      <c r="A7" s="3"/>
      <c r="B7" s="3"/>
      <c r="C7" s="3" t="s">
        <v>55</v>
      </c>
      <c r="D7" s="3"/>
      <c r="E7" s="3">
        <v>6</v>
      </c>
      <c r="F7" s="23">
        <v>46303</v>
      </c>
      <c r="G7" s="3" t="s">
        <v>34</v>
      </c>
    </row>
    <row r="8" spans="1:7" x14ac:dyDescent="0.2">
      <c r="A8" s="3"/>
      <c r="B8" s="3"/>
      <c r="C8" s="3" t="s">
        <v>57</v>
      </c>
      <c r="D8" s="3"/>
      <c r="E8" s="3">
        <v>7</v>
      </c>
      <c r="F8" s="23">
        <v>46310</v>
      </c>
      <c r="G8" s="3" t="s">
        <v>94</v>
      </c>
    </row>
    <row r="9" spans="1:7" x14ac:dyDescent="0.2">
      <c r="A9" s="3"/>
      <c r="B9" s="3"/>
      <c r="C9" s="3"/>
      <c r="D9" s="3"/>
      <c r="E9" s="3">
        <v>8</v>
      </c>
      <c r="F9" s="23">
        <v>46330</v>
      </c>
      <c r="G9" s="3" t="s">
        <v>43</v>
      </c>
    </row>
    <row r="10" spans="1:7" x14ac:dyDescent="0.2">
      <c r="A10" s="3"/>
      <c r="B10" s="3"/>
      <c r="C10" s="3"/>
      <c r="D10" s="3"/>
      <c r="E10" s="3">
        <v>9</v>
      </c>
      <c r="F10" s="23">
        <v>46331</v>
      </c>
      <c r="G10" s="3" t="s">
        <v>51</v>
      </c>
    </row>
    <row r="11" spans="1:7" x14ac:dyDescent="0.2">
      <c r="A11" s="3"/>
      <c r="B11" s="3"/>
      <c r="C11" s="3"/>
      <c r="D11" s="3"/>
      <c r="E11" s="3">
        <v>10</v>
      </c>
      <c r="F11" s="23">
        <v>46351</v>
      </c>
      <c r="G11" s="3" t="s">
        <v>77</v>
      </c>
    </row>
    <row r="12" spans="1:7" x14ac:dyDescent="0.2">
      <c r="A12" s="3"/>
      <c r="B12" s="3"/>
      <c r="C12" s="3"/>
      <c r="D12" s="3"/>
      <c r="E12" s="3">
        <v>11</v>
      </c>
      <c r="F12" s="23">
        <v>46353</v>
      </c>
      <c r="G12" s="3" t="s">
        <v>77</v>
      </c>
    </row>
    <row r="13" spans="1:7" x14ac:dyDescent="0.2">
      <c r="A13" s="3"/>
      <c r="B13" s="3"/>
      <c r="C13" s="3"/>
      <c r="D13" s="3"/>
      <c r="E13" s="3">
        <v>12</v>
      </c>
      <c r="F13" s="23">
        <v>46365</v>
      </c>
      <c r="G13" s="3" t="s">
        <v>84</v>
      </c>
    </row>
    <row r="14" spans="1:7" x14ac:dyDescent="0.2">
      <c r="A14" s="3"/>
      <c r="B14" s="3"/>
      <c r="C14" s="3"/>
      <c r="D14" s="3"/>
      <c r="E14" s="3"/>
      <c r="F14" s="3"/>
      <c r="G14" s="3"/>
    </row>
    <row r="15" spans="1:7" x14ac:dyDescent="0.2">
      <c r="A15" s="3"/>
      <c r="B15" s="3"/>
      <c r="C15" s="3"/>
      <c r="D15" s="3"/>
      <c r="E15" s="3"/>
      <c r="F15" s="3"/>
      <c r="G15" s="3"/>
    </row>
    <row r="16" spans="1:7" x14ac:dyDescent="0.2">
      <c r="A16" s="3"/>
      <c r="B16" s="3"/>
      <c r="C16" s="3"/>
      <c r="D16" s="3"/>
      <c r="E16" s="3"/>
      <c r="F16" s="3"/>
      <c r="G16" s="3"/>
    </row>
    <row r="17" spans="1:7" x14ac:dyDescent="0.2">
      <c r="A17" s="3"/>
      <c r="B17" s="3"/>
      <c r="C17" s="3"/>
      <c r="D17" s="3"/>
      <c r="E17" s="3"/>
      <c r="F17" s="3"/>
      <c r="G17" s="3"/>
    </row>
    <row r="18" spans="1:7" x14ac:dyDescent="0.2">
      <c r="A18" s="3"/>
      <c r="B18" s="3"/>
      <c r="C18" s="3"/>
      <c r="D18" s="3"/>
      <c r="E18" s="3"/>
      <c r="F18" s="3"/>
      <c r="G18" s="3"/>
    </row>
    <row r="19" spans="1:7" x14ac:dyDescent="0.2">
      <c r="A19" s="3"/>
      <c r="B19" s="3"/>
      <c r="C19" s="3"/>
      <c r="D19" s="3"/>
      <c r="E19" s="3"/>
      <c r="F19" s="3"/>
      <c r="G19" s="3"/>
    </row>
    <row r="20" spans="1:7" x14ac:dyDescent="0.2">
      <c r="A20" s="3"/>
      <c r="B20" s="3"/>
      <c r="C20" s="3"/>
      <c r="D20" s="3"/>
      <c r="E20" s="3"/>
      <c r="F20" s="3"/>
      <c r="G20" s="3"/>
    </row>
    <row r="21" spans="1:7" ht="15.75" customHeight="1" x14ac:dyDescent="0.2"/>
    <row r="22" spans="1:7" ht="15.75" customHeight="1" x14ac:dyDescent="0.2">
      <c r="A22" s="24" t="s">
        <v>95</v>
      </c>
    </row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JUNIOR</cp:lastModifiedBy>
  <dcterms:modified xsi:type="dcterms:W3CDTF">2026-10-08T15:42:07Z</dcterms:modified>
</cp:coreProperties>
</file>